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ijunyang/Google Drive/courses/6251-Numerical &amp; Simulation Techniques/Project 2/"/>
    </mc:Choice>
  </mc:AlternateContent>
  <bookViews>
    <workbookView xWindow="8540" yWindow="460" windowWidth="16380" windowHeight="14460" tabRatio="500"/>
  </bookViews>
  <sheets>
    <sheet name="Sheet1" sheetId="1" r:id="rId1"/>
  </sheets>
  <definedNames>
    <definedName name="A">Sheet1!$B$7:$D$9</definedName>
    <definedName name="alpha">Sheet1!$B$18</definedName>
    <definedName name="cmatrix">Sheet1!$B$2:$D$4</definedName>
    <definedName name="cprice">Sheet1!$B$13</definedName>
    <definedName name="cshares">Sheet1!$D$13</definedName>
    <definedName name="cvol">Sheet1!$C$13</definedName>
    <definedName name="dt">Sheet1!$B$17</definedName>
    <definedName name="gsprice">Sheet1!$B$14</definedName>
    <definedName name="gsshares">Sheet1!$D$14</definedName>
    <definedName name="gsvol">Sheet1!$C$14</definedName>
    <definedName name="matrix">Sheet1!$B$2:$D$4</definedName>
    <definedName name="msftprice">Sheet1!$B$15</definedName>
    <definedName name="msftshares">Sheet1!$D$15</definedName>
    <definedName name="msftvol">Sheet1!$C$15</definedName>
    <definedName name="nscen1">Sheet1!$G$1</definedName>
    <definedName name="nscen2">Sheet1!$H$1</definedName>
    <definedName name="nscen3">Sheet1!$I$1</definedName>
    <definedName name="nscen4">Sheet1!$J$1</definedName>
    <definedName name="price">Sheet1!$B$13:$B$15</definedName>
    <definedName name="shares">Sheet1!$D$13:$D$15</definedName>
    <definedName name="sigl">Sheet1!$B$18</definedName>
    <definedName name="siglev">Sheet1!$B$18</definedName>
    <definedName name="vol">Sheet1!$C$13:$C$15</definedName>
    <definedName name="Z">Sheet1!$B$19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5" i="1" l="1"/>
  <c r="H21" i="1"/>
  <c r="H19" i="1"/>
  <c r="H9" i="1"/>
  <c r="H6" i="1"/>
  <c r="H5" i="1"/>
  <c r="H3" i="1"/>
  <c r="G2" i="1"/>
  <c r="H11" i="1"/>
  <c r="H14" i="1"/>
  <c r="H20" i="1"/>
  <c r="H17" i="1"/>
  <c r="H18" i="1"/>
  <c r="I19" i="1"/>
  <c r="I13" i="1"/>
  <c r="I11" i="1"/>
  <c r="I9" i="1"/>
  <c r="I8" i="1"/>
  <c r="J3" i="1"/>
  <c r="J5" i="1"/>
  <c r="J15" i="1"/>
  <c r="J11" i="1"/>
  <c r="J12" i="1"/>
  <c r="J2" i="1"/>
  <c r="G13" i="1"/>
  <c r="G7" i="1"/>
  <c r="G5" i="1"/>
  <c r="G20" i="1"/>
  <c r="B21" i="1"/>
  <c r="B7" i="1" a="1"/>
  <c r="D9" i="1"/>
  <c r="C9" i="1"/>
  <c r="B9" i="1"/>
  <c r="B7" i="1"/>
  <c r="C7" i="1"/>
  <c r="D7" i="1"/>
  <c r="B8" i="1"/>
  <c r="C8" i="1"/>
  <c r="D8" i="1"/>
  <c r="I7" i="1"/>
  <c r="H7" i="1"/>
  <c r="G16" i="1"/>
  <c r="H16" i="1"/>
  <c r="G42" i="1"/>
  <c r="G38" i="1"/>
  <c r="G24" i="1"/>
  <c r="G3" i="1"/>
  <c r="G25" i="1"/>
  <c r="G4" i="1"/>
  <c r="G26" i="1"/>
  <c r="G27" i="1"/>
  <c r="G6" i="1"/>
  <c r="G28" i="1"/>
  <c r="G29" i="1"/>
  <c r="G8" i="1"/>
  <c r="G30" i="1"/>
  <c r="G9" i="1"/>
  <c r="G31" i="1"/>
  <c r="G10" i="1"/>
  <c r="G32" i="1"/>
  <c r="G11" i="1"/>
  <c r="G33" i="1"/>
  <c r="G12" i="1"/>
  <c r="G34" i="1"/>
  <c r="G35" i="1"/>
  <c r="G14" i="1"/>
  <c r="G36" i="1"/>
  <c r="G15" i="1"/>
  <c r="G37" i="1"/>
  <c r="G17" i="1"/>
  <c r="G39" i="1"/>
  <c r="G18" i="1"/>
  <c r="G40" i="1"/>
  <c r="G19" i="1"/>
  <c r="G41" i="1"/>
  <c r="G21" i="1"/>
  <c r="G43" i="1"/>
  <c r="G44" i="1"/>
  <c r="H2" i="1"/>
  <c r="H24" i="1"/>
  <c r="H25" i="1"/>
  <c r="H4" i="1"/>
  <c r="H26" i="1"/>
  <c r="H27" i="1"/>
  <c r="H28" i="1"/>
  <c r="H29" i="1"/>
  <c r="H8" i="1"/>
  <c r="H30" i="1"/>
  <c r="H31" i="1"/>
  <c r="H10" i="1"/>
  <c r="H32" i="1"/>
  <c r="H33" i="1"/>
  <c r="H12" i="1"/>
  <c r="H34" i="1"/>
  <c r="H13" i="1"/>
  <c r="H35" i="1"/>
  <c r="H36" i="1"/>
  <c r="H37" i="1"/>
  <c r="H38" i="1"/>
  <c r="H39" i="1"/>
  <c r="H40" i="1"/>
  <c r="H41" i="1"/>
  <c r="H42" i="1"/>
  <c r="H43" i="1"/>
  <c r="H44" i="1"/>
  <c r="H46" i="1"/>
  <c r="I2" i="1"/>
  <c r="I24" i="1"/>
  <c r="I3" i="1"/>
  <c r="I25" i="1"/>
  <c r="I4" i="1"/>
  <c r="I26" i="1"/>
  <c r="I5" i="1"/>
  <c r="I27" i="1"/>
  <c r="I6" i="1"/>
  <c r="I28" i="1"/>
  <c r="I29" i="1"/>
  <c r="I30" i="1"/>
  <c r="I31" i="1"/>
  <c r="I10" i="1"/>
  <c r="I32" i="1"/>
  <c r="I33" i="1"/>
  <c r="I12" i="1"/>
  <c r="I34" i="1"/>
  <c r="I35" i="1"/>
  <c r="I14" i="1"/>
  <c r="I36" i="1"/>
  <c r="I15" i="1"/>
  <c r="I37" i="1"/>
  <c r="I16" i="1"/>
  <c r="I38" i="1"/>
  <c r="I17" i="1"/>
  <c r="I39" i="1"/>
  <c r="I18" i="1"/>
  <c r="I40" i="1"/>
  <c r="I41" i="1"/>
  <c r="I20" i="1"/>
  <c r="I42" i="1"/>
  <c r="I21" i="1"/>
  <c r="I43" i="1"/>
  <c r="I44" i="1"/>
  <c r="I46" i="1"/>
  <c r="J24" i="1"/>
  <c r="J25" i="1"/>
  <c r="J4" i="1"/>
  <c r="J26" i="1"/>
  <c r="J27" i="1"/>
  <c r="J6" i="1"/>
  <c r="J28" i="1"/>
  <c r="J7" i="1"/>
  <c r="J29" i="1"/>
  <c r="J8" i="1"/>
  <c r="J30" i="1"/>
  <c r="J9" i="1"/>
  <c r="J31" i="1"/>
  <c r="J10" i="1"/>
  <c r="J32" i="1"/>
  <c r="J33" i="1"/>
  <c r="J34" i="1"/>
  <c r="J13" i="1"/>
  <c r="J35" i="1"/>
  <c r="J14" i="1"/>
  <c r="J36" i="1"/>
  <c r="J37" i="1"/>
  <c r="J16" i="1"/>
  <c r="J38" i="1"/>
  <c r="J17" i="1"/>
  <c r="J39" i="1"/>
  <c r="J18" i="1"/>
  <c r="J40" i="1"/>
  <c r="J19" i="1"/>
  <c r="J41" i="1"/>
  <c r="J20" i="1"/>
  <c r="J42" i="1"/>
  <c r="J21" i="1"/>
  <c r="J43" i="1"/>
  <c r="J44" i="1"/>
  <c r="J46" i="1"/>
  <c r="G46" i="1"/>
  <c r="H45" i="1"/>
  <c r="I45" i="1"/>
  <c r="J45" i="1"/>
  <c r="G45" i="1"/>
  <c r="B17" i="1"/>
</calcChain>
</file>

<file path=xl/sharedStrings.xml><?xml version="1.0" encoding="utf-8"?>
<sst xmlns="http://schemas.openxmlformats.org/spreadsheetml/2006/main" count="30" uniqueCount="18">
  <si>
    <t>C</t>
  </si>
  <si>
    <t>GS</t>
  </si>
  <si>
    <t>MSFT</t>
  </si>
  <si>
    <t>price</t>
  </si>
  <si>
    <t>volatility</t>
  </si>
  <si>
    <t>shares</t>
  </si>
  <si>
    <t>Portfolio Info</t>
  </si>
  <si>
    <t xml:space="preserve">Cholesky Decomposition </t>
  </si>
  <si>
    <t>Correlation Matrix</t>
  </si>
  <si>
    <t>dt</t>
  </si>
  <si>
    <t>n_scenario</t>
  </si>
  <si>
    <t>VaR_analytical</t>
  </si>
  <si>
    <t>MSE</t>
  </si>
  <si>
    <t>Average</t>
  </si>
  <si>
    <t>log(nscen)</t>
  </si>
  <si>
    <t>log(MSE)</t>
  </si>
  <si>
    <t>alpha_0.01</t>
  </si>
  <si>
    <t>significance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</si>
</sst>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1" fillId="2" borderId="1" xfId="0" applyFont="1" applyFill="1" applyBorder="1"/>
    <xf numFmtId="164" fontId="0" fillId="0" borderId="1" xfId="0" applyNumberFormat="1" applyBorder="1"/>
    <xf numFmtId="9" fontId="0" fillId="0" borderId="1" xfId="0" applyNumberFormat="1" applyBorder="1"/>
    <xf numFmtId="0" fontId="0" fillId="0" borderId="1" xfId="0" applyBorder="1"/>
    <xf numFmtId="0" fontId="0" fillId="3" borderId="1" xfId="0" applyFill="1" applyBorder="1"/>
    <xf numFmtId="0" fontId="0" fillId="2" borderId="1" xfId="0" applyFill="1" applyBorder="1"/>
  </cellXfs>
  <cellStyles count="2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log-log plot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Sheet1!$G$45:$J$45</c:f>
              <c:numCache>
                <c:formatCode>General</c:formatCode>
                <c:ptCount val="4"/>
                <c:pt idx="0">
                  <c:v>3.0</c:v>
                </c:pt>
                <c:pt idx="1">
                  <c:v>3.698970004336019</c:v>
                </c:pt>
                <c:pt idx="2">
                  <c:v>4.0</c:v>
                </c:pt>
                <c:pt idx="3">
                  <c:v>4.698970004336019</c:v>
                </c:pt>
              </c:numCache>
            </c:numRef>
          </c:cat>
          <c:val>
            <c:numRef>
              <c:f>Sheet1!$G$46:$J$46</c:f>
              <c:numCache>
                <c:formatCode>General</c:formatCode>
                <c:ptCount val="4"/>
                <c:pt idx="0">
                  <c:v>17.66533836861465</c:v>
                </c:pt>
                <c:pt idx="1">
                  <c:v>17.66334821268429</c:v>
                </c:pt>
                <c:pt idx="2">
                  <c:v>17.66228171589941</c:v>
                </c:pt>
                <c:pt idx="3">
                  <c:v>17.66096601761538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7581648"/>
        <c:axId val="1024200016"/>
      </c:lineChart>
      <c:catAx>
        <c:axId val="102758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200016"/>
        <c:crosses val="autoZero"/>
        <c:auto val="1"/>
        <c:lblAlgn val="ctr"/>
        <c:lblOffset val="100"/>
        <c:noMultiLvlLbl val="0"/>
      </c:catAx>
      <c:valAx>
        <c:axId val="102420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758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190500</xdr:rowOff>
    </xdr:from>
    <xdr:to>
      <xdr:col>4</xdr:col>
      <xdr:colOff>381000</xdr:colOff>
      <xdr:row>37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46"/>
  <sheetViews>
    <sheetView tabSelected="1" workbookViewId="0">
      <selection activeCell="D18" sqref="D18"/>
    </sheetView>
  </sheetViews>
  <sheetFormatPr baseColWidth="10" defaultRowHeight="16" x14ac:dyDescent="0.2"/>
  <cols>
    <col min="1" max="1" width="22.5" customWidth="1"/>
    <col min="5" max="5" width="11.1640625" bestFit="1" customWidth="1"/>
    <col min="7" max="7" width="11" customWidth="1"/>
    <col min="10" max="10" width="11.83203125" customWidth="1"/>
  </cols>
  <sheetData>
    <row r="1" spans="1:10" x14ac:dyDescent="0.2">
      <c r="A1" s="1" t="s">
        <v>8</v>
      </c>
      <c r="B1" s="5" t="s">
        <v>0</v>
      </c>
      <c r="C1" s="5" t="s">
        <v>1</v>
      </c>
      <c r="D1" s="5" t="s">
        <v>2</v>
      </c>
      <c r="F1" s="1" t="s">
        <v>10</v>
      </c>
      <c r="G1" s="5">
        <v>1000</v>
      </c>
      <c r="H1" s="5">
        <v>5000</v>
      </c>
      <c r="I1" s="5">
        <v>10000</v>
      </c>
      <c r="J1" s="5">
        <v>50000</v>
      </c>
    </row>
    <row r="2" spans="1:10" x14ac:dyDescent="0.2">
      <c r="A2" s="5" t="s">
        <v>0</v>
      </c>
      <c r="B2" s="4">
        <v>1</v>
      </c>
      <c r="C2" s="4">
        <v>0.6</v>
      </c>
      <c r="D2" s="4">
        <v>0.2</v>
      </c>
      <c r="F2" s="5">
        <v>1</v>
      </c>
      <c r="G2" s="4">
        <f>MC_VaR(price,vol,shares,A,dt,nscen1,alpha)</f>
        <v>-310405</v>
      </c>
      <c r="H2" s="4">
        <f t="shared" ref="H2:H16" si="0">MC_VaR(price,vol,shares,A,dt,nscen2,alpha)</f>
        <v>-310410</v>
      </c>
      <c r="I2" s="4">
        <f t="shared" ref="I2:I21" si="1">MC_VaR(price,vol,shares,A,dt,nscen3,alpha)</f>
        <v>-310408</v>
      </c>
      <c r="J2" s="4">
        <f>MC_VaR(price,vol,shares,A,dt,nscen4,alpha)</f>
        <v>-310403</v>
      </c>
    </row>
    <row r="3" spans="1:10" x14ac:dyDescent="0.2">
      <c r="A3" s="5" t="s">
        <v>1</v>
      </c>
      <c r="B3" s="4">
        <v>0.6</v>
      </c>
      <c r="C3" s="4">
        <v>1</v>
      </c>
      <c r="D3" s="4">
        <v>0.4</v>
      </c>
      <c r="F3" s="5">
        <v>2</v>
      </c>
      <c r="G3" s="4">
        <f t="shared" ref="G3:G21" si="2">MC_VaR(price,vol,shares,A,dt,nscen1,alpha)</f>
        <v>-310425</v>
      </c>
      <c r="H3" s="4">
        <f>MC_VaR(price,vol,shares,A,dt,nscen2,alpha)</f>
        <v>-310414</v>
      </c>
      <c r="I3" s="4">
        <f t="shared" si="1"/>
        <v>-310412</v>
      </c>
      <c r="J3" s="4">
        <f>MC_VaR(price,vol,shares,A,dt,nscen4,alpha)</f>
        <v>-310401</v>
      </c>
    </row>
    <row r="4" spans="1:10" x14ac:dyDescent="0.2">
      <c r="A4" s="5" t="s">
        <v>2</v>
      </c>
      <c r="B4" s="4">
        <v>0.2</v>
      </c>
      <c r="C4" s="4">
        <v>0.4</v>
      </c>
      <c r="D4" s="4">
        <v>1</v>
      </c>
      <c r="F4" s="5">
        <v>3</v>
      </c>
      <c r="G4" s="4">
        <f t="shared" si="2"/>
        <v>-310416</v>
      </c>
      <c r="H4" s="4">
        <f t="shared" si="0"/>
        <v>-310419</v>
      </c>
      <c r="I4" s="4">
        <f t="shared" si="1"/>
        <v>-310405</v>
      </c>
      <c r="J4" s="4">
        <f t="shared" ref="J4:J21" si="3">MC_VaR(price,vol,shares,A,dt,nscen4,alpha)</f>
        <v>-310403</v>
      </c>
    </row>
    <row r="5" spans="1:10" x14ac:dyDescent="0.2">
      <c r="F5" s="5">
        <v>4</v>
      </c>
      <c r="G5" s="4">
        <f>MC_VaR(price,vol,shares,A,dt,nscen1,alpha)</f>
        <v>-310415</v>
      </c>
      <c r="H5" s="4">
        <f>MC_VaR(price,vol,shares,A,dt,nscen2,alpha)</f>
        <v>-310406</v>
      </c>
      <c r="I5" s="4">
        <f t="shared" si="1"/>
        <v>-310401</v>
      </c>
      <c r="J5" s="4">
        <f>MC_VaR(price,vol,shares,A,dt,nscen4,alpha)</f>
        <v>-310402</v>
      </c>
    </row>
    <row r="6" spans="1:10" x14ac:dyDescent="0.2">
      <c r="A6" s="1" t="s">
        <v>7</v>
      </c>
      <c r="B6" s="5" t="s">
        <v>0</v>
      </c>
      <c r="C6" s="5" t="s">
        <v>1</v>
      </c>
      <c r="D6" s="5" t="s">
        <v>2</v>
      </c>
      <c r="F6" s="5">
        <v>5</v>
      </c>
      <c r="G6" s="4">
        <f t="shared" si="2"/>
        <v>-310390</v>
      </c>
      <c r="H6" s="4">
        <f>MC_VaR(price,vol,shares,A,dt,nscen2,alpha)</f>
        <v>-310402</v>
      </c>
      <c r="I6" s="4">
        <f t="shared" si="1"/>
        <v>-310404</v>
      </c>
      <c r="J6" s="4">
        <f t="shared" si="3"/>
        <v>-310398</v>
      </c>
    </row>
    <row r="7" spans="1:10" x14ac:dyDescent="0.2">
      <c r="A7" s="5" t="s">
        <v>0</v>
      </c>
      <c r="B7" s="4">
        <f t="array" ref="B7:D9">decom(B2:D4)</f>
        <v>1</v>
      </c>
      <c r="C7" s="4">
        <v>0</v>
      </c>
      <c r="D7" s="4">
        <v>0</v>
      </c>
      <c r="F7" s="5">
        <v>6</v>
      </c>
      <c r="G7" s="4">
        <f>MC_VaR(price,vol,shares,A,dt,nscen1,alpha)</f>
        <v>-310430</v>
      </c>
      <c r="H7" s="4">
        <f t="shared" si="0"/>
        <v>-310403</v>
      </c>
      <c r="I7" s="4">
        <f t="shared" si="1"/>
        <v>-310410</v>
      </c>
      <c r="J7" s="4">
        <f t="shared" si="3"/>
        <v>-310403</v>
      </c>
    </row>
    <row r="8" spans="1:10" x14ac:dyDescent="0.2">
      <c r="A8" s="5" t="s">
        <v>1</v>
      </c>
      <c r="B8" s="4">
        <v>0.6</v>
      </c>
      <c r="C8" s="4">
        <v>0.8</v>
      </c>
      <c r="D8" s="4">
        <v>0</v>
      </c>
      <c r="F8" s="5">
        <v>7</v>
      </c>
      <c r="G8" s="4">
        <f t="shared" si="2"/>
        <v>-310436</v>
      </c>
      <c r="H8" s="4">
        <f t="shared" si="0"/>
        <v>-310407</v>
      </c>
      <c r="I8" s="4">
        <f>MC_VaR(price,vol,shares,A,dt,nscen3,alpha)</f>
        <v>-310403</v>
      </c>
      <c r="J8" s="4">
        <f t="shared" si="3"/>
        <v>-310401</v>
      </c>
    </row>
    <row r="9" spans="1:10" x14ac:dyDescent="0.2">
      <c r="A9" s="5" t="s">
        <v>2</v>
      </c>
      <c r="B9" s="4">
        <v>0.2</v>
      </c>
      <c r="C9" s="4">
        <v>0.35000000000000003</v>
      </c>
      <c r="D9" s="4">
        <v>0.91515026088615625</v>
      </c>
      <c r="F9" s="5">
        <v>8</v>
      </c>
      <c r="G9" s="4">
        <f t="shared" si="2"/>
        <v>-310430</v>
      </c>
      <c r="H9" s="4">
        <f>MC_VaR(price,vol,shares,A,dt,nscen2,alpha)</f>
        <v>-310410</v>
      </c>
      <c r="I9" s="4">
        <f>MC_VaR(price,vol,shares,A,dt,nscen3,alpha)</f>
        <v>-310406</v>
      </c>
      <c r="J9" s="4">
        <f t="shared" si="3"/>
        <v>-310400</v>
      </c>
    </row>
    <row r="10" spans="1:10" x14ac:dyDescent="0.2">
      <c r="F10" s="5">
        <v>9</v>
      </c>
      <c r="G10" s="4">
        <f t="shared" si="2"/>
        <v>-310423</v>
      </c>
      <c r="H10" s="4">
        <f t="shared" si="0"/>
        <v>-310407</v>
      </c>
      <c r="I10" s="4">
        <f t="shared" si="1"/>
        <v>-310408</v>
      </c>
      <c r="J10" s="4">
        <f t="shared" si="3"/>
        <v>-310399</v>
      </c>
    </row>
    <row r="11" spans="1:10" x14ac:dyDescent="0.2">
      <c r="A11" s="1" t="s">
        <v>6</v>
      </c>
      <c r="F11" s="5">
        <v>10</v>
      </c>
      <c r="G11" s="4">
        <f t="shared" si="2"/>
        <v>-310403</v>
      </c>
      <c r="H11" s="4">
        <f>MC_VaR(price,vol,shares,A,dt,nscen2,alpha)</f>
        <v>-310410</v>
      </c>
      <c r="I11" s="4">
        <f>MC_VaR(price,vol,shares,A,dt,nscen3,alpha)</f>
        <v>-310403</v>
      </c>
      <c r="J11" s="4">
        <f>MC_VaR(price,vol,shares,A,dt,nscen4,alpha)</f>
        <v>-310403</v>
      </c>
    </row>
    <row r="12" spans="1:10" x14ac:dyDescent="0.2">
      <c r="B12" s="5" t="s">
        <v>3</v>
      </c>
      <c r="C12" s="5" t="s">
        <v>4</v>
      </c>
      <c r="D12" s="5" t="s">
        <v>5</v>
      </c>
      <c r="F12" s="5">
        <v>11</v>
      </c>
      <c r="G12" s="4">
        <f t="shared" si="2"/>
        <v>-310429</v>
      </c>
      <c r="H12" s="4">
        <f t="shared" si="0"/>
        <v>-310419</v>
      </c>
      <c r="I12" s="4">
        <f t="shared" si="1"/>
        <v>-310410</v>
      </c>
      <c r="J12" s="4">
        <f>MC_VaR(price,vol,shares,A,dt,nscen4,alpha)</f>
        <v>-310400</v>
      </c>
    </row>
    <row r="13" spans="1:10" x14ac:dyDescent="0.2">
      <c r="A13" s="5" t="s">
        <v>0</v>
      </c>
      <c r="B13" s="4">
        <v>47</v>
      </c>
      <c r="C13" s="4">
        <v>0.4</v>
      </c>
      <c r="D13" s="4">
        <v>100000</v>
      </c>
      <c r="F13" s="5">
        <v>12</v>
      </c>
      <c r="G13" s="4">
        <f>MC_VaR(price,vol,shares,A,dt,nscen1,alpha)</f>
        <v>-310430</v>
      </c>
      <c r="H13" s="4">
        <f t="shared" si="0"/>
        <v>-310411</v>
      </c>
      <c r="I13" s="4">
        <f>MC_VaR(price,vol,shares,A,dt,nscen3,alpha)</f>
        <v>-310400</v>
      </c>
      <c r="J13" s="4">
        <f t="shared" si="3"/>
        <v>-310403</v>
      </c>
    </row>
    <row r="14" spans="1:10" x14ac:dyDescent="0.2">
      <c r="A14" s="5" t="s">
        <v>1</v>
      </c>
      <c r="B14" s="4">
        <v>144</v>
      </c>
      <c r="C14" s="4">
        <v>0.45</v>
      </c>
      <c r="D14" s="4">
        <v>-40000</v>
      </c>
      <c r="F14" s="5">
        <v>13</v>
      </c>
      <c r="G14" s="4">
        <f t="shared" si="2"/>
        <v>-310421</v>
      </c>
      <c r="H14" s="4">
        <f>MC_VaR(price,vol,shares,A,dt,nscen2,alpha)</f>
        <v>-310404</v>
      </c>
      <c r="I14" s="4">
        <f t="shared" si="1"/>
        <v>-310400</v>
      </c>
      <c r="J14" s="4">
        <f t="shared" si="3"/>
        <v>-310404</v>
      </c>
    </row>
    <row r="15" spans="1:10" x14ac:dyDescent="0.2">
      <c r="A15" s="5" t="s">
        <v>2</v>
      </c>
      <c r="B15" s="4">
        <v>31</v>
      </c>
      <c r="C15" s="4">
        <v>0.3</v>
      </c>
      <c r="D15" s="4">
        <v>10000</v>
      </c>
      <c r="F15" s="5">
        <v>14</v>
      </c>
      <c r="G15" s="4">
        <f t="shared" si="2"/>
        <v>-310392</v>
      </c>
      <c r="H15" s="4">
        <f>MC_VaR(price,vol,shares,A,dt,nscen2,alpha)</f>
        <v>-310414</v>
      </c>
      <c r="I15" s="4">
        <f t="shared" si="1"/>
        <v>-310402</v>
      </c>
      <c r="J15" s="4">
        <f>MC_VaR(price,vol,shares,A,dt,nscen4,alpha)</f>
        <v>-310402</v>
      </c>
    </row>
    <row r="16" spans="1:10" x14ac:dyDescent="0.2">
      <c r="F16" s="5">
        <v>15</v>
      </c>
      <c r="G16" s="4">
        <f t="shared" si="2"/>
        <v>-310438</v>
      </c>
      <c r="H16" s="4">
        <f t="shared" si="0"/>
        <v>-310410</v>
      </c>
      <c r="I16" s="4">
        <f t="shared" si="1"/>
        <v>-310409</v>
      </c>
      <c r="J16" s="4">
        <f t="shared" si="3"/>
        <v>-310401</v>
      </c>
    </row>
    <row r="17" spans="1:10" x14ac:dyDescent="0.2">
      <c r="A17" s="1" t="s">
        <v>9</v>
      </c>
      <c r="B17" s="2">
        <f>1/252</f>
        <v>3.968253968253968E-3</v>
      </c>
      <c r="F17" s="5">
        <v>16</v>
      </c>
      <c r="G17" s="4">
        <f t="shared" si="2"/>
        <v>-310434</v>
      </c>
      <c r="H17" s="4">
        <f>MC_VaR(price,vol,shares,A,dt,nscen2,alpha)</f>
        <v>-310415</v>
      </c>
      <c r="I17" s="4">
        <f t="shared" si="1"/>
        <v>-310410</v>
      </c>
      <c r="J17" s="4">
        <f t="shared" si="3"/>
        <v>-310402</v>
      </c>
    </row>
    <row r="18" spans="1:10" x14ac:dyDescent="0.2">
      <c r="A18" s="1" t="s">
        <v>17</v>
      </c>
      <c r="B18" s="3">
        <v>0.01</v>
      </c>
      <c r="F18" s="5">
        <v>17</v>
      </c>
      <c r="G18" s="4">
        <f t="shared" si="2"/>
        <v>-310409</v>
      </c>
      <c r="H18" s="4">
        <f>MC_VaR(price,vol,shares,A,dt,nscen2,alpha)</f>
        <v>-310404</v>
      </c>
      <c r="I18" s="4">
        <f t="shared" si="1"/>
        <v>-310409</v>
      </c>
      <c r="J18" s="4">
        <f t="shared" si="3"/>
        <v>-310404</v>
      </c>
    </row>
    <row r="19" spans="1:10" x14ac:dyDescent="0.2">
      <c r="A19" s="1" t="s">
        <v>16</v>
      </c>
      <c r="B19" s="4">
        <v>-2.3262999999999998</v>
      </c>
      <c r="F19" s="5">
        <v>18</v>
      </c>
      <c r="G19" s="4">
        <f t="shared" si="2"/>
        <v>-310407</v>
      </c>
      <c r="H19" s="4">
        <f>MC_VaR(price,vol,shares,A,dt,nscen2,alpha)</f>
        <v>-310406</v>
      </c>
      <c r="I19" s="4">
        <f>MC_VaR(price,vol,shares,A,dt,nscen3,alpha)</f>
        <v>-310403</v>
      </c>
      <c r="J19" s="4">
        <f t="shared" si="3"/>
        <v>-310400</v>
      </c>
    </row>
    <row r="20" spans="1:10" x14ac:dyDescent="0.2">
      <c r="F20" s="5">
        <v>19</v>
      </c>
      <c r="G20" s="4">
        <f t="shared" si="2"/>
        <v>-310378</v>
      </c>
      <c r="H20" s="4">
        <f>MC_VaR(price,vol,shares,A,dt,nscen2,alpha)</f>
        <v>-310413</v>
      </c>
      <c r="I20" s="4">
        <f t="shared" si="1"/>
        <v>-310405</v>
      </c>
      <c r="J20" s="4">
        <f t="shared" si="3"/>
        <v>-310403</v>
      </c>
    </row>
    <row r="21" spans="1:10" x14ac:dyDescent="0.2">
      <c r="A21" s="1" t="s">
        <v>11</v>
      </c>
      <c r="B21" s="4">
        <f>An_VaR(price,vol,shares,dt,cmatrix,Z)</f>
        <v>-303561.96061553387</v>
      </c>
      <c r="F21" s="5">
        <v>20</v>
      </c>
      <c r="G21" s="4">
        <f t="shared" si="2"/>
        <v>-310419</v>
      </c>
      <c r="H21" s="4">
        <f>MC_VaR(price,vol,shares,A,dt,nscen2,alpha)</f>
        <v>-310410</v>
      </c>
      <c r="I21" s="4">
        <f t="shared" si="1"/>
        <v>-310413</v>
      </c>
      <c r="J21" s="4">
        <f t="shared" si="3"/>
        <v>-310399</v>
      </c>
    </row>
    <row r="23" spans="1:10" x14ac:dyDescent="0.2">
      <c r="F23" s="6" t="s">
        <v>12</v>
      </c>
      <c r="G23" s="5">
        <v>1000</v>
      </c>
      <c r="H23" s="5">
        <v>5000</v>
      </c>
      <c r="I23" s="5">
        <v>10000</v>
      </c>
      <c r="J23" s="5">
        <v>50000</v>
      </c>
    </row>
    <row r="24" spans="1:10" x14ac:dyDescent="0.2">
      <c r="F24" s="5">
        <v>1</v>
      </c>
      <c r="G24" s="4">
        <f>($B$21-G2)^2</f>
        <v>46827188.017354593</v>
      </c>
      <c r="H24" s="4">
        <f>($B$21-H2)^2</f>
        <v>46895643.411199257</v>
      </c>
      <c r="I24" s="4">
        <f>($B$21-I2)^2</f>
        <v>46868255.253661394</v>
      </c>
      <c r="J24" s="4">
        <f>($B$21-J2)^2</f>
        <v>46799819.85981673</v>
      </c>
    </row>
    <row r="25" spans="1:10" x14ac:dyDescent="0.2">
      <c r="F25" s="5">
        <v>2</v>
      </c>
      <c r="G25" s="4">
        <f t="shared" ref="G25:J43" si="4">($B$21-G3)^2</f>
        <v>47101309.592733242</v>
      </c>
      <c r="H25" s="4">
        <f t="shared" si="4"/>
        <v>46950443.726274982</v>
      </c>
      <c r="I25" s="4">
        <f t="shared" si="4"/>
        <v>46923039.568737119</v>
      </c>
      <c r="J25" s="4">
        <f t="shared" si="4"/>
        <v>46772459.702278867</v>
      </c>
    </row>
    <row r="26" spans="1:10" x14ac:dyDescent="0.2">
      <c r="F26" s="5">
        <v>3</v>
      </c>
      <c r="G26" s="4">
        <f t="shared" si="4"/>
        <v>46977855.883812852</v>
      </c>
      <c r="H26" s="4">
        <f t="shared" si="4"/>
        <v>47018989.120119646</v>
      </c>
      <c r="I26" s="4">
        <f t="shared" si="4"/>
        <v>46827188.017354593</v>
      </c>
      <c r="J26" s="4">
        <f t="shared" si="4"/>
        <v>46799819.85981673</v>
      </c>
    </row>
    <row r="27" spans="1:10" x14ac:dyDescent="0.2">
      <c r="F27" s="5">
        <v>4</v>
      </c>
      <c r="G27" s="4">
        <f t="shared" si="4"/>
        <v>46964148.805043921</v>
      </c>
      <c r="H27" s="4">
        <f t="shared" si="4"/>
        <v>46840875.096123524</v>
      </c>
      <c r="I27" s="4">
        <f t="shared" si="4"/>
        <v>46772459.702278867</v>
      </c>
      <c r="J27" s="4">
        <f t="shared" si="4"/>
        <v>46786138.781047799</v>
      </c>
    </row>
    <row r="28" spans="1:10" x14ac:dyDescent="0.2">
      <c r="F28" s="5">
        <v>5</v>
      </c>
      <c r="G28" s="4">
        <f t="shared" si="4"/>
        <v>46622121.835820608</v>
      </c>
      <c r="H28" s="4">
        <f t="shared" si="4"/>
        <v>46786138.781047799</v>
      </c>
      <c r="I28" s="4">
        <f t="shared" si="4"/>
        <v>46813502.938585661</v>
      </c>
      <c r="J28" s="4">
        <f t="shared" si="4"/>
        <v>46731434.465972066</v>
      </c>
    </row>
    <row r="29" spans="1:10" x14ac:dyDescent="0.2">
      <c r="F29" s="5">
        <v>6</v>
      </c>
      <c r="G29" s="4">
        <f t="shared" si="4"/>
        <v>47169964.986577898</v>
      </c>
      <c r="H29" s="4">
        <f t="shared" si="4"/>
        <v>46799819.85981673</v>
      </c>
      <c r="I29" s="4">
        <f t="shared" si="4"/>
        <v>46895643.411199257</v>
      </c>
      <c r="J29" s="4">
        <f t="shared" si="4"/>
        <v>46799819.85981673</v>
      </c>
    </row>
    <row r="30" spans="1:10" x14ac:dyDescent="0.2">
      <c r="F30" s="5">
        <v>7</v>
      </c>
      <c r="G30" s="4">
        <f t="shared" si="4"/>
        <v>47252417.459191494</v>
      </c>
      <c r="H30" s="4">
        <f t="shared" si="4"/>
        <v>46854564.174892463</v>
      </c>
      <c r="I30" s="4">
        <f t="shared" si="4"/>
        <v>46799819.85981673</v>
      </c>
      <c r="J30" s="4">
        <f t="shared" si="4"/>
        <v>46772459.702278867</v>
      </c>
    </row>
    <row r="31" spans="1:10" x14ac:dyDescent="0.2">
      <c r="F31" s="5">
        <v>8</v>
      </c>
      <c r="G31" s="4">
        <f t="shared" si="4"/>
        <v>47169964.986577898</v>
      </c>
      <c r="H31" s="4">
        <f t="shared" si="4"/>
        <v>46895643.411199257</v>
      </c>
      <c r="I31" s="4">
        <f t="shared" si="4"/>
        <v>46840875.096123524</v>
      </c>
      <c r="J31" s="4">
        <f t="shared" si="4"/>
        <v>46758782.623509936</v>
      </c>
    </row>
    <row r="32" spans="1:10" x14ac:dyDescent="0.2">
      <c r="F32" s="5">
        <v>9</v>
      </c>
      <c r="G32" s="4">
        <f t="shared" si="4"/>
        <v>47073861.435195379</v>
      </c>
      <c r="H32" s="4">
        <f t="shared" si="4"/>
        <v>46854564.174892463</v>
      </c>
      <c r="I32" s="4">
        <f t="shared" si="4"/>
        <v>46868255.253661394</v>
      </c>
      <c r="J32" s="4">
        <f t="shared" si="4"/>
        <v>46745107.544741005</v>
      </c>
    </row>
    <row r="33" spans="6:10" x14ac:dyDescent="0.2">
      <c r="F33" s="5">
        <v>10</v>
      </c>
      <c r="G33" s="4">
        <f t="shared" si="4"/>
        <v>46799819.85981673</v>
      </c>
      <c r="H33" s="4">
        <f t="shared" si="4"/>
        <v>46895643.411199257</v>
      </c>
      <c r="I33" s="4">
        <f t="shared" si="4"/>
        <v>46799819.85981673</v>
      </c>
      <c r="J33" s="4">
        <f t="shared" si="4"/>
        <v>46799819.85981673</v>
      </c>
    </row>
    <row r="34" spans="6:10" x14ac:dyDescent="0.2">
      <c r="F34" s="5">
        <v>11</v>
      </c>
      <c r="G34" s="4">
        <f t="shared" si="4"/>
        <v>47156229.907808967</v>
      </c>
      <c r="H34" s="4">
        <f t="shared" si="4"/>
        <v>47018989.120119646</v>
      </c>
      <c r="I34" s="4">
        <f t="shared" si="4"/>
        <v>46895643.411199257</v>
      </c>
      <c r="J34" s="4">
        <f t="shared" si="4"/>
        <v>46758782.623509936</v>
      </c>
    </row>
    <row r="35" spans="6:10" x14ac:dyDescent="0.2">
      <c r="F35" s="5">
        <v>12</v>
      </c>
      <c r="G35" s="4">
        <f t="shared" si="4"/>
        <v>47169964.986577898</v>
      </c>
      <c r="H35" s="4">
        <f>($B$21-H13)^2</f>
        <v>46909340.489968188</v>
      </c>
      <c r="I35" s="4">
        <f t="shared" ref="I35:J43" si="5">($B$21-I13)^2</f>
        <v>46758782.623509936</v>
      </c>
      <c r="J35" s="4">
        <f t="shared" si="5"/>
        <v>46799819.85981673</v>
      </c>
    </row>
    <row r="36" spans="6:10" x14ac:dyDescent="0.2">
      <c r="F36" s="5">
        <v>13</v>
      </c>
      <c r="G36" s="4">
        <f t="shared" si="4"/>
        <v>47046421.277657509</v>
      </c>
      <c r="H36" s="4">
        <f t="shared" ref="H36" si="6">($B$21-H14)^2</f>
        <v>46813502.938585661</v>
      </c>
      <c r="I36" s="4">
        <f t="shared" si="5"/>
        <v>46758782.623509936</v>
      </c>
      <c r="J36" s="4">
        <f t="shared" si="5"/>
        <v>46813502.938585661</v>
      </c>
    </row>
    <row r="37" spans="6:10" x14ac:dyDescent="0.2">
      <c r="F37" s="5">
        <v>14</v>
      </c>
      <c r="G37" s="4">
        <f t="shared" si="4"/>
        <v>46649437.993358478</v>
      </c>
      <c r="H37" s="4">
        <f t="shared" ref="H37" si="7">($B$21-H15)^2</f>
        <v>46950443.726274982</v>
      </c>
      <c r="I37" s="4">
        <f t="shared" si="5"/>
        <v>46786138.781047799</v>
      </c>
      <c r="J37" s="4">
        <f t="shared" si="5"/>
        <v>46786138.781047799</v>
      </c>
    </row>
    <row r="38" spans="6:10" x14ac:dyDescent="0.2">
      <c r="F38" s="5">
        <v>15</v>
      </c>
      <c r="G38" s="4">
        <f t="shared" si="4"/>
        <v>47279917.616729356</v>
      </c>
      <c r="H38" s="4">
        <f t="shared" ref="H38" si="8">($B$21-H16)^2</f>
        <v>46895643.411199257</v>
      </c>
      <c r="I38" s="4">
        <f t="shared" si="5"/>
        <v>46881948.332430325</v>
      </c>
      <c r="J38" s="4">
        <f t="shared" si="5"/>
        <v>46772459.702278867</v>
      </c>
    </row>
    <row r="39" spans="6:10" x14ac:dyDescent="0.2">
      <c r="F39" s="5">
        <v>16</v>
      </c>
      <c r="G39" s="4">
        <f t="shared" si="4"/>
        <v>47224925.301653631</v>
      </c>
      <c r="H39" s="4">
        <f t="shared" ref="H39" si="9">($B$21-H17)^2</f>
        <v>46964148.805043921</v>
      </c>
      <c r="I39" s="4">
        <f t="shared" si="5"/>
        <v>46895643.411199257</v>
      </c>
      <c r="J39" s="4">
        <f t="shared" si="5"/>
        <v>46786138.781047799</v>
      </c>
    </row>
    <row r="40" spans="6:10" x14ac:dyDescent="0.2">
      <c r="F40" s="5">
        <v>17</v>
      </c>
      <c r="G40" s="4">
        <f t="shared" si="4"/>
        <v>46881948.332430325</v>
      </c>
      <c r="H40" s="4">
        <f t="shared" ref="H40" si="10">($B$21-H18)^2</f>
        <v>46813502.938585661</v>
      </c>
      <c r="I40" s="4">
        <f t="shared" si="5"/>
        <v>46881948.332430325</v>
      </c>
      <c r="J40" s="4">
        <f t="shared" si="5"/>
        <v>46813502.938585661</v>
      </c>
    </row>
    <row r="41" spans="6:10" x14ac:dyDescent="0.2">
      <c r="F41" s="5">
        <v>18</v>
      </c>
      <c r="G41" s="4">
        <f t="shared" si="4"/>
        <v>46854564.174892463</v>
      </c>
      <c r="H41" s="4">
        <f t="shared" ref="H41" si="11">($B$21-H19)^2</f>
        <v>46840875.096123524</v>
      </c>
      <c r="I41" s="4">
        <f t="shared" si="5"/>
        <v>46799819.85981673</v>
      </c>
      <c r="J41" s="4">
        <f t="shared" si="5"/>
        <v>46758782.623509936</v>
      </c>
    </row>
    <row r="42" spans="6:10" x14ac:dyDescent="0.2">
      <c r="F42" s="5">
        <v>19</v>
      </c>
      <c r="G42" s="4">
        <f>($B$21-G20)^2</f>
        <v>46458392.890593424</v>
      </c>
      <c r="H42" s="4">
        <f t="shared" ref="H42" si="12">($B$21-H20)^2</f>
        <v>46936740.647506051</v>
      </c>
      <c r="I42" s="4">
        <f t="shared" si="5"/>
        <v>46827188.017354593</v>
      </c>
      <c r="J42" s="4">
        <f t="shared" si="5"/>
        <v>46799819.85981673</v>
      </c>
    </row>
    <row r="43" spans="6:10" x14ac:dyDescent="0.2">
      <c r="F43" s="5">
        <v>20</v>
      </c>
      <c r="G43" s="4">
        <f t="shared" si="4"/>
        <v>47018989.120119646</v>
      </c>
      <c r="H43" s="4">
        <f t="shared" ref="H43" si="13">($B$21-H21)^2</f>
        <v>46895643.411199257</v>
      </c>
      <c r="I43" s="4">
        <f t="shared" si="5"/>
        <v>46936740.647506051</v>
      </c>
      <c r="J43" s="4">
        <f t="shared" si="5"/>
        <v>46745107.544741005</v>
      </c>
    </row>
    <row r="44" spans="6:10" x14ac:dyDescent="0.2">
      <c r="F44" s="1" t="s">
        <v>13</v>
      </c>
      <c r="G44" s="4">
        <f>AVERAGE(G24:G43)</f>
        <v>46984972.223197326</v>
      </c>
      <c r="H44" s="4">
        <f>AVERAGE(H24:H43)</f>
        <v>46891557.787568577</v>
      </c>
      <c r="I44" s="4">
        <f t="shared" ref="I44" si="14">AVERAGE(I24:I43)</f>
        <v>46841574.750061974</v>
      </c>
      <c r="J44" s="4">
        <f>AVERAGE(J24:J43)</f>
        <v>46779985.895601779</v>
      </c>
    </row>
    <row r="45" spans="6:10" x14ac:dyDescent="0.2">
      <c r="F45" s="1" t="s">
        <v>14</v>
      </c>
      <c r="G45" s="4">
        <f>LOG(G23)</f>
        <v>3</v>
      </c>
      <c r="H45" s="4">
        <f t="shared" ref="H45:J45" si="15">LOG(H23)</f>
        <v>3.6989700043360187</v>
      </c>
      <c r="I45" s="4">
        <f t="shared" si="15"/>
        <v>4</v>
      </c>
      <c r="J45" s="4">
        <f t="shared" si="15"/>
        <v>4.6989700043360187</v>
      </c>
    </row>
    <row r="46" spans="6:10" x14ac:dyDescent="0.2">
      <c r="F46" s="1" t="s">
        <v>15</v>
      </c>
      <c r="G46" s="4">
        <f>LN(G44)</f>
        <v>17.665338368614652</v>
      </c>
      <c r="H46" s="4">
        <f t="shared" ref="H46:J46" si="16">LN(H44)</f>
        <v>17.663348212684294</v>
      </c>
      <c r="I46" s="4">
        <f t="shared" si="16"/>
        <v>17.662281715899411</v>
      </c>
      <c r="J46" s="4">
        <f t="shared" si="16"/>
        <v>17.660966017615383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2017-10-26T22:28:31Z</dcterms:created>
  <dcterms:modified xsi:type="dcterms:W3CDTF">2017-10-31T02:30:37Z</dcterms:modified>
</cp:coreProperties>
</file>